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PSU\Projects\PhD\WeeklyMeetings_Tasks\24_04062026_BHI_RL\risk-based-bhi-softtree-ppo\onebridgeVerification\"/>
    </mc:Choice>
  </mc:AlternateContent>
  <xr:revisionPtr revIDLastSave="0" documentId="13_ncr:1_{0C08CCFA-21A9-4407-A736-636E6696B372}" xr6:coauthVersionLast="47" xr6:coauthVersionMax="47" xr10:uidLastSave="{00000000-0000-0000-0000-000000000000}"/>
  <bookViews>
    <workbookView xWindow="17172" yWindow="7692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Q2" i="1" l="1"/>
</calcChain>
</file>

<file path=xl/sharedStrings.xml><?xml version="1.0" encoding="utf-8"?>
<sst xmlns="http://schemas.openxmlformats.org/spreadsheetml/2006/main" count="37" uniqueCount="37">
  <si>
    <t>Pin and/or Pin &amp; Hanger Assembly</t>
  </si>
  <si>
    <t>Column (RC)</t>
  </si>
  <si>
    <t>Abutment (RC)</t>
  </si>
  <si>
    <t>Pier Cap (RC)</t>
  </si>
  <si>
    <t>Movable Bearing (roller, sliding, etc.)</t>
  </si>
  <si>
    <t>Metal Bridge Railing</t>
  </si>
  <si>
    <t>Wearing Surface</t>
  </si>
  <si>
    <t>Steel Protective Coating</t>
  </si>
  <si>
    <t>element weight</t>
  </si>
  <si>
    <t>VF(Table 10)</t>
  </si>
  <si>
    <t>SSF(Table 3)</t>
  </si>
  <si>
    <t>total</t>
  </si>
  <si>
    <t>Q1</t>
  </si>
  <si>
    <t>Q2</t>
  </si>
  <si>
    <t>Q3</t>
  </si>
  <si>
    <t>Q4</t>
  </si>
  <si>
    <t>Timber Deck</t>
  </si>
  <si>
    <t>Element No.</t>
  </si>
  <si>
    <t>Element Name</t>
  </si>
  <si>
    <t>year</t>
  </si>
  <si>
    <t>Girder Beam (Steel)</t>
  </si>
  <si>
    <t>Stringer (Timber)</t>
  </si>
  <si>
    <t>Truss (Steel)</t>
  </si>
  <si>
    <t>Main Cable</t>
  </si>
  <si>
    <t>Secondary Cable</t>
  </si>
  <si>
    <t>Floor Beam (Steel)</t>
  </si>
  <si>
    <t>Gusset Plate</t>
  </si>
  <si>
    <t>Column (Steel)</t>
  </si>
  <si>
    <t>Pile Cap / Footing (RC)</t>
  </si>
  <si>
    <t>Assembly Joint without Seal</t>
  </si>
  <si>
    <t>Fixed Bearing</t>
  </si>
  <si>
    <t>K1</t>
  </si>
  <si>
    <t>K2</t>
  </si>
  <si>
    <t>k3</t>
  </si>
  <si>
    <t>k4</t>
  </si>
  <si>
    <t>He</t>
  </si>
  <si>
    <t>BHI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</si>
</sst>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O8" sqref="O8"/>
    </sheetView>
  </sheetViews>
  <sheetFormatPr defaultRowHeight="15" x14ac:dyDescent="0.25"/>
  <cols>
    <col min="1" max="1" width="8.28515625" bestFit="1" customWidth="1"/>
    <col min="2" max="2" width="43.140625" bestFit="1" customWidth="1"/>
    <col min="3" max="3" width="18.7109375" bestFit="1" customWidth="1"/>
    <col min="4" max="4" width="12" bestFit="1" customWidth="1"/>
    <col min="5" max="6" width="15.28515625" bestFit="1" customWidth="1"/>
    <col min="7" max="7" width="20" customWidth="1"/>
  </cols>
  <sheetData>
    <row r="1" spans="1:17" x14ac:dyDescent="0.25">
      <c r="A1" t="s">
        <v>19</v>
      </c>
      <c r="B1" t="s">
        <v>17</v>
      </c>
      <c r="C1" t="s">
        <v>18</v>
      </c>
      <c r="D1" t="s">
        <v>9</v>
      </c>
      <c r="E1" t="s">
        <v>10</v>
      </c>
      <c r="F1" t="s">
        <v>8</v>
      </c>
      <c r="G1" s="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</row>
    <row r="2" spans="1:17" x14ac:dyDescent="0.25">
      <c r="A2">
        <v>2025</v>
      </c>
      <c r="B2">
        <v>31</v>
      </c>
      <c r="C2" t="s">
        <v>16</v>
      </c>
      <c r="D2">
        <v>4</v>
      </c>
      <c r="E2">
        <v>3</v>
      </c>
      <c r="F2">
        <f>D2*E2</f>
        <v>12</v>
      </c>
      <c r="G2">
        <v>14100</v>
      </c>
      <c r="H2">
        <v>12800</v>
      </c>
      <c r="I2">
        <v>1300</v>
      </c>
      <c r="J2">
        <v>0</v>
      </c>
      <c r="K2">
        <v>0</v>
      </c>
      <c r="L2">
        <v>1</v>
      </c>
      <c r="M2">
        <v>0.67</v>
      </c>
      <c r="N2">
        <v>0.33</v>
      </c>
      <c r="O2">
        <v>0</v>
      </c>
      <c r="P2">
        <f>(L2*H2+M2*I2+N2*J2+O2*K2)/G2</f>
        <v>0.96957446808510639</v>
      </c>
      <c r="Q2" s="2">
        <f>(P2*F2+P3*F3+P4*F4+P5*F5+P6*F6+P7*F7+P8*F8+P9*F9+P10*F10+P11*F11+P12*F12+P13*F13+P14*F14+P15*F15+P16*F16+P17*F17+P18*F18+P19*F19+P20*F20+P21*F21)/SUM(F2:F21)</f>
        <v>0.95310153729903702</v>
      </c>
    </row>
    <row r="3" spans="1:17" x14ac:dyDescent="0.25">
      <c r="A3">
        <v>2025</v>
      </c>
      <c r="B3">
        <v>107</v>
      </c>
      <c r="C3" t="s">
        <v>20</v>
      </c>
      <c r="D3">
        <v>3</v>
      </c>
      <c r="E3">
        <v>4</v>
      </c>
      <c r="F3">
        <f t="shared" ref="F3:F21" si="0">D3*E3</f>
        <v>12</v>
      </c>
      <c r="G3">
        <v>650</v>
      </c>
      <c r="H3">
        <v>630</v>
      </c>
      <c r="I3">
        <v>20</v>
      </c>
      <c r="J3">
        <v>0</v>
      </c>
      <c r="K3">
        <v>0</v>
      </c>
      <c r="L3">
        <v>1</v>
      </c>
      <c r="M3">
        <v>0.67</v>
      </c>
      <c r="N3">
        <v>0.33</v>
      </c>
      <c r="O3">
        <v>0</v>
      </c>
      <c r="P3">
        <f t="shared" ref="P3:P21" si="1">(L3*H3+M3*I3+N3*J3+O3*K3)/G3</f>
        <v>0.98984615384615382</v>
      </c>
    </row>
    <row r="4" spans="1:17" x14ac:dyDescent="0.25">
      <c r="A4">
        <v>2025</v>
      </c>
      <c r="B4">
        <v>117</v>
      </c>
      <c r="C4" t="s">
        <v>21</v>
      </c>
      <c r="D4">
        <v>4</v>
      </c>
      <c r="E4">
        <v>4</v>
      </c>
      <c r="F4">
        <f t="shared" si="0"/>
        <v>16</v>
      </c>
      <c r="G4">
        <v>2760</v>
      </c>
      <c r="H4">
        <v>2235</v>
      </c>
      <c r="I4">
        <v>510</v>
      </c>
      <c r="J4">
        <v>15</v>
      </c>
      <c r="K4">
        <v>0</v>
      </c>
      <c r="L4">
        <v>1</v>
      </c>
      <c r="M4">
        <v>0.67</v>
      </c>
      <c r="N4">
        <v>0.33</v>
      </c>
      <c r="O4">
        <v>0</v>
      </c>
      <c r="P4">
        <f t="shared" si="1"/>
        <v>0.93538043478260857</v>
      </c>
    </row>
    <row r="5" spans="1:17" x14ac:dyDescent="0.25">
      <c r="A5">
        <v>2025</v>
      </c>
      <c r="B5">
        <v>120</v>
      </c>
      <c r="C5" t="s">
        <v>22</v>
      </c>
      <c r="D5">
        <v>3</v>
      </c>
      <c r="E5">
        <v>4</v>
      </c>
      <c r="F5">
        <f t="shared" si="0"/>
        <v>12</v>
      </c>
      <c r="G5">
        <v>920</v>
      </c>
      <c r="H5">
        <v>693</v>
      </c>
      <c r="I5">
        <v>227</v>
      </c>
      <c r="J5">
        <v>0</v>
      </c>
      <c r="K5">
        <v>0</v>
      </c>
      <c r="L5">
        <v>1</v>
      </c>
      <c r="M5">
        <v>0.67</v>
      </c>
      <c r="N5">
        <v>0.33</v>
      </c>
      <c r="O5">
        <v>0</v>
      </c>
      <c r="P5">
        <f t="shared" si="1"/>
        <v>0.91857608695652182</v>
      </c>
    </row>
    <row r="6" spans="1:17" x14ac:dyDescent="0.25">
      <c r="A6">
        <v>2025</v>
      </c>
      <c r="B6">
        <v>147</v>
      </c>
      <c r="C6" t="s">
        <v>23</v>
      </c>
      <c r="D6">
        <v>3</v>
      </c>
      <c r="E6">
        <v>4</v>
      </c>
      <c r="F6">
        <f t="shared" si="0"/>
        <v>12</v>
      </c>
      <c r="G6">
        <v>5520</v>
      </c>
      <c r="H6">
        <v>5518</v>
      </c>
      <c r="I6">
        <v>2</v>
      </c>
      <c r="J6">
        <v>0</v>
      </c>
      <c r="K6">
        <v>0</v>
      </c>
      <c r="L6">
        <v>1</v>
      </c>
      <c r="M6">
        <v>0.67</v>
      </c>
      <c r="N6">
        <v>0.33</v>
      </c>
      <c r="O6">
        <v>0</v>
      </c>
      <c r="P6">
        <f t="shared" si="1"/>
        <v>0.99988043478260868</v>
      </c>
    </row>
    <row r="7" spans="1:17" x14ac:dyDescent="0.25">
      <c r="A7">
        <v>2025</v>
      </c>
      <c r="B7">
        <v>148</v>
      </c>
      <c r="C7" t="s">
        <v>24</v>
      </c>
      <c r="D7">
        <v>3</v>
      </c>
      <c r="E7">
        <v>4</v>
      </c>
      <c r="F7">
        <f t="shared" si="0"/>
        <v>12</v>
      </c>
      <c r="G7">
        <v>58</v>
      </c>
      <c r="H7">
        <v>57</v>
      </c>
      <c r="I7">
        <v>1</v>
      </c>
      <c r="J7">
        <v>0</v>
      </c>
      <c r="K7">
        <v>0</v>
      </c>
      <c r="L7">
        <v>1</v>
      </c>
      <c r="M7">
        <v>0.67</v>
      </c>
      <c r="N7">
        <v>0.33</v>
      </c>
      <c r="O7">
        <v>0</v>
      </c>
      <c r="P7">
        <f t="shared" si="1"/>
        <v>0.99431034482758629</v>
      </c>
    </row>
    <row r="8" spans="1:17" x14ac:dyDescent="0.25">
      <c r="A8">
        <v>2025</v>
      </c>
      <c r="B8">
        <v>152</v>
      </c>
      <c r="C8" t="s">
        <v>25</v>
      </c>
      <c r="D8">
        <v>3</v>
      </c>
      <c r="E8">
        <v>4</v>
      </c>
      <c r="F8">
        <f t="shared" si="0"/>
        <v>12</v>
      </c>
      <c r="G8">
        <v>713</v>
      </c>
      <c r="H8">
        <v>623</v>
      </c>
      <c r="I8">
        <v>90</v>
      </c>
      <c r="J8">
        <v>0</v>
      </c>
      <c r="K8">
        <v>0</v>
      </c>
      <c r="L8">
        <v>1</v>
      </c>
      <c r="M8">
        <v>0.67</v>
      </c>
      <c r="N8">
        <v>0.33</v>
      </c>
      <c r="O8">
        <v>0</v>
      </c>
      <c r="P8">
        <f t="shared" si="1"/>
        <v>0.95834502103786812</v>
      </c>
    </row>
    <row r="9" spans="1:17" x14ac:dyDescent="0.25">
      <c r="A9">
        <v>2025</v>
      </c>
      <c r="B9">
        <v>161</v>
      </c>
      <c r="C9" t="s">
        <v>0</v>
      </c>
      <c r="D9">
        <v>3</v>
      </c>
      <c r="E9">
        <v>4</v>
      </c>
      <c r="F9">
        <f t="shared" si="0"/>
        <v>12</v>
      </c>
      <c r="G9">
        <v>116</v>
      </c>
      <c r="H9">
        <v>109</v>
      </c>
      <c r="I9">
        <v>7</v>
      </c>
      <c r="J9">
        <v>0</v>
      </c>
      <c r="K9">
        <v>0</v>
      </c>
      <c r="L9">
        <v>1</v>
      </c>
      <c r="M9">
        <v>0.67</v>
      </c>
      <c r="N9">
        <v>0.33</v>
      </c>
      <c r="O9">
        <v>0</v>
      </c>
      <c r="P9">
        <f t="shared" si="1"/>
        <v>0.98008620689655168</v>
      </c>
    </row>
    <row r="10" spans="1:17" x14ac:dyDescent="0.25">
      <c r="A10">
        <v>2025</v>
      </c>
      <c r="B10">
        <v>162</v>
      </c>
      <c r="C10" t="s">
        <v>26</v>
      </c>
      <c r="D10">
        <v>3</v>
      </c>
      <c r="E10">
        <v>4</v>
      </c>
      <c r="F10">
        <f t="shared" si="0"/>
        <v>12</v>
      </c>
      <c r="G10">
        <v>352</v>
      </c>
      <c r="H10">
        <v>315</v>
      </c>
      <c r="I10">
        <v>37</v>
      </c>
      <c r="J10">
        <v>0</v>
      </c>
      <c r="K10">
        <v>0</v>
      </c>
      <c r="L10">
        <v>1</v>
      </c>
      <c r="M10">
        <v>0.67</v>
      </c>
      <c r="N10">
        <v>0.33</v>
      </c>
      <c r="O10">
        <v>0</v>
      </c>
      <c r="P10">
        <f t="shared" si="1"/>
        <v>0.96531250000000002</v>
      </c>
    </row>
    <row r="11" spans="1:17" x14ac:dyDescent="0.25">
      <c r="A11">
        <v>2025</v>
      </c>
      <c r="B11">
        <v>202</v>
      </c>
      <c r="C11" t="s">
        <v>27</v>
      </c>
      <c r="D11">
        <v>3</v>
      </c>
      <c r="E11">
        <v>4</v>
      </c>
      <c r="F11">
        <f t="shared" si="0"/>
        <v>12</v>
      </c>
      <c r="G11">
        <v>4</v>
      </c>
      <c r="H11">
        <v>3</v>
      </c>
      <c r="I11">
        <v>1</v>
      </c>
      <c r="J11">
        <v>0</v>
      </c>
      <c r="K11">
        <v>0</v>
      </c>
      <c r="L11">
        <v>1</v>
      </c>
      <c r="M11">
        <v>0.67</v>
      </c>
      <c r="N11">
        <v>0.33</v>
      </c>
      <c r="O11">
        <v>0</v>
      </c>
      <c r="P11">
        <f t="shared" si="1"/>
        <v>0.91749999999999998</v>
      </c>
    </row>
    <row r="12" spans="1:17" x14ac:dyDescent="0.25">
      <c r="A12">
        <v>2025</v>
      </c>
      <c r="B12">
        <v>205</v>
      </c>
      <c r="C12" t="s">
        <v>1</v>
      </c>
      <c r="D12">
        <v>2</v>
      </c>
      <c r="E12">
        <v>4</v>
      </c>
      <c r="F12">
        <f t="shared" si="0"/>
        <v>8</v>
      </c>
      <c r="G12">
        <v>2</v>
      </c>
      <c r="H12">
        <v>2</v>
      </c>
      <c r="I12">
        <v>0</v>
      </c>
      <c r="J12">
        <v>0</v>
      </c>
      <c r="K12">
        <v>0</v>
      </c>
      <c r="L12">
        <v>1</v>
      </c>
      <c r="M12">
        <v>0.67</v>
      </c>
      <c r="N12">
        <v>0.33</v>
      </c>
      <c r="O12">
        <v>0</v>
      </c>
      <c r="P12">
        <f t="shared" si="1"/>
        <v>1</v>
      </c>
    </row>
    <row r="13" spans="1:17" x14ac:dyDescent="0.25">
      <c r="A13">
        <v>2025</v>
      </c>
      <c r="B13">
        <v>215</v>
      </c>
      <c r="C13" t="s">
        <v>2</v>
      </c>
      <c r="D13">
        <v>2</v>
      </c>
      <c r="E13">
        <v>2</v>
      </c>
      <c r="F13">
        <f t="shared" si="0"/>
        <v>4</v>
      </c>
      <c r="G13">
        <v>107</v>
      </c>
      <c r="H13">
        <v>54</v>
      </c>
      <c r="I13">
        <v>53</v>
      </c>
      <c r="J13">
        <v>0</v>
      </c>
      <c r="K13">
        <v>0</v>
      </c>
      <c r="L13">
        <v>1</v>
      </c>
      <c r="M13">
        <v>0.67</v>
      </c>
      <c r="N13">
        <v>0.33</v>
      </c>
      <c r="O13">
        <v>0</v>
      </c>
      <c r="P13">
        <f t="shared" si="1"/>
        <v>0.83654205607476639</v>
      </c>
    </row>
    <row r="14" spans="1:17" x14ac:dyDescent="0.25">
      <c r="A14">
        <v>2025</v>
      </c>
      <c r="B14">
        <v>220</v>
      </c>
      <c r="C14" t="s">
        <v>28</v>
      </c>
      <c r="D14">
        <v>2</v>
      </c>
      <c r="E14">
        <v>2</v>
      </c>
      <c r="F14">
        <f t="shared" si="0"/>
        <v>4</v>
      </c>
      <c r="G14">
        <v>96</v>
      </c>
      <c r="H14">
        <v>64</v>
      </c>
      <c r="I14">
        <v>32</v>
      </c>
      <c r="J14">
        <v>0</v>
      </c>
      <c r="K14">
        <v>0</v>
      </c>
      <c r="L14">
        <v>1</v>
      </c>
      <c r="M14">
        <v>0.67</v>
      </c>
      <c r="N14">
        <v>0.33</v>
      </c>
      <c r="O14">
        <v>0</v>
      </c>
      <c r="P14">
        <f t="shared" si="1"/>
        <v>0.89</v>
      </c>
    </row>
    <row r="15" spans="1:17" x14ac:dyDescent="0.25">
      <c r="A15">
        <v>2025</v>
      </c>
      <c r="B15">
        <v>234</v>
      </c>
      <c r="C15" t="s">
        <v>3</v>
      </c>
      <c r="D15">
        <v>2</v>
      </c>
      <c r="E15">
        <v>4</v>
      </c>
      <c r="F15">
        <f t="shared" si="0"/>
        <v>8</v>
      </c>
      <c r="G15">
        <v>47</v>
      </c>
      <c r="H15">
        <v>35</v>
      </c>
      <c r="I15">
        <v>11</v>
      </c>
      <c r="J15">
        <v>1</v>
      </c>
      <c r="K15">
        <v>0</v>
      </c>
      <c r="L15">
        <v>1</v>
      </c>
      <c r="M15">
        <v>0.67</v>
      </c>
      <c r="N15">
        <v>0.33</v>
      </c>
      <c r="O15">
        <v>0</v>
      </c>
      <c r="P15">
        <f t="shared" si="1"/>
        <v>0.90851063829787226</v>
      </c>
    </row>
    <row r="16" spans="1:17" x14ac:dyDescent="0.25">
      <c r="A16">
        <v>2025</v>
      </c>
      <c r="B16">
        <v>305</v>
      </c>
      <c r="C16" t="s">
        <v>29</v>
      </c>
      <c r="D16">
        <v>1.5</v>
      </c>
      <c r="E16">
        <v>1</v>
      </c>
      <c r="F16">
        <f t="shared" si="0"/>
        <v>1.5</v>
      </c>
      <c r="G16">
        <v>95</v>
      </c>
      <c r="H16">
        <v>95</v>
      </c>
      <c r="I16">
        <v>0</v>
      </c>
      <c r="J16">
        <v>0</v>
      </c>
      <c r="K16">
        <v>0</v>
      </c>
      <c r="L16">
        <v>1</v>
      </c>
      <c r="M16">
        <v>0.67</v>
      </c>
      <c r="N16">
        <v>0.33</v>
      </c>
      <c r="O16">
        <v>0</v>
      </c>
      <c r="P16">
        <f t="shared" si="1"/>
        <v>1</v>
      </c>
    </row>
    <row r="17" spans="1:16" x14ac:dyDescent="0.25">
      <c r="A17">
        <v>2025</v>
      </c>
      <c r="B17">
        <v>311</v>
      </c>
      <c r="C17" t="s">
        <v>4</v>
      </c>
      <c r="D17">
        <v>1.5</v>
      </c>
      <c r="E17">
        <v>3</v>
      </c>
      <c r="F17">
        <f t="shared" si="0"/>
        <v>4.5</v>
      </c>
      <c r="G17">
        <v>14</v>
      </c>
      <c r="H17">
        <v>10</v>
      </c>
      <c r="I17">
        <v>4</v>
      </c>
      <c r="J17">
        <v>0</v>
      </c>
      <c r="K17">
        <v>0</v>
      </c>
      <c r="L17">
        <v>1</v>
      </c>
      <c r="M17">
        <v>0.67</v>
      </c>
      <c r="N17">
        <v>0.33</v>
      </c>
      <c r="O17">
        <v>0</v>
      </c>
      <c r="P17">
        <f t="shared" si="1"/>
        <v>0.90571428571428569</v>
      </c>
    </row>
    <row r="18" spans="1:16" x14ac:dyDescent="0.25">
      <c r="A18">
        <v>2025</v>
      </c>
      <c r="B18">
        <v>313</v>
      </c>
      <c r="C18" t="s">
        <v>30</v>
      </c>
      <c r="D18">
        <v>1.5</v>
      </c>
      <c r="E18">
        <v>3</v>
      </c>
      <c r="F18">
        <f t="shared" si="0"/>
        <v>4.5</v>
      </c>
      <c r="G18">
        <v>10</v>
      </c>
      <c r="H18">
        <v>8</v>
      </c>
      <c r="I18">
        <v>2</v>
      </c>
      <c r="J18">
        <v>0</v>
      </c>
      <c r="K18">
        <v>0</v>
      </c>
      <c r="L18">
        <v>1</v>
      </c>
      <c r="M18">
        <v>0.67</v>
      </c>
      <c r="N18">
        <v>0.33</v>
      </c>
      <c r="O18">
        <v>0</v>
      </c>
      <c r="P18">
        <f t="shared" si="1"/>
        <v>0.93399999999999994</v>
      </c>
    </row>
    <row r="19" spans="1:16" x14ac:dyDescent="0.25">
      <c r="A19">
        <v>2025</v>
      </c>
      <c r="B19">
        <v>330</v>
      </c>
      <c r="C19" t="s">
        <v>5</v>
      </c>
      <c r="D19">
        <v>3</v>
      </c>
      <c r="E19">
        <v>1</v>
      </c>
      <c r="F19">
        <f t="shared" si="0"/>
        <v>3</v>
      </c>
      <c r="G19">
        <v>1186</v>
      </c>
      <c r="H19">
        <v>1119</v>
      </c>
      <c r="I19">
        <v>57</v>
      </c>
      <c r="J19">
        <v>10</v>
      </c>
      <c r="K19">
        <v>0</v>
      </c>
      <c r="L19">
        <v>1</v>
      </c>
      <c r="M19">
        <v>0.67</v>
      </c>
      <c r="N19">
        <v>0.33</v>
      </c>
      <c r="O19">
        <v>0</v>
      </c>
      <c r="P19">
        <f t="shared" si="1"/>
        <v>0.9784907251264755</v>
      </c>
    </row>
    <row r="20" spans="1:16" x14ac:dyDescent="0.25">
      <c r="A20">
        <v>2025</v>
      </c>
      <c r="B20">
        <v>510</v>
      </c>
      <c r="C20" t="s">
        <v>6</v>
      </c>
      <c r="D20">
        <v>1.5</v>
      </c>
      <c r="E20">
        <v>1</v>
      </c>
      <c r="F20">
        <f t="shared" si="0"/>
        <v>1.5</v>
      </c>
      <c r="G20">
        <v>13000</v>
      </c>
      <c r="H20">
        <v>1000</v>
      </c>
      <c r="I20">
        <v>11900</v>
      </c>
      <c r="J20">
        <v>100</v>
      </c>
      <c r="K20">
        <v>0</v>
      </c>
      <c r="L20">
        <v>1</v>
      </c>
      <c r="M20">
        <v>0.67</v>
      </c>
      <c r="N20">
        <v>0.33</v>
      </c>
      <c r="O20">
        <v>0</v>
      </c>
      <c r="P20">
        <f t="shared" si="1"/>
        <v>0.6927692307692308</v>
      </c>
    </row>
    <row r="21" spans="1:16" x14ac:dyDescent="0.25">
      <c r="A21">
        <v>2025</v>
      </c>
      <c r="B21">
        <v>515</v>
      </c>
      <c r="C21" t="s">
        <v>7</v>
      </c>
      <c r="D21">
        <v>3</v>
      </c>
      <c r="E21">
        <v>1</v>
      </c>
      <c r="F21">
        <f t="shared" si="0"/>
        <v>3</v>
      </c>
      <c r="G21">
        <v>290</v>
      </c>
      <c r="H21">
        <v>290</v>
      </c>
      <c r="I21">
        <v>0</v>
      </c>
      <c r="J21">
        <v>0</v>
      </c>
      <c r="K21">
        <v>0</v>
      </c>
      <c r="L21">
        <v>1</v>
      </c>
      <c r="M21">
        <v>0.67</v>
      </c>
      <c r="N21">
        <v>0.33</v>
      </c>
      <c r="O21">
        <v>0</v>
      </c>
      <c r="P21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Moayyedi</dc:creator>
  <cp:lastModifiedBy>Amir Moayyedi</cp:lastModifiedBy>
  <dcterms:created xsi:type="dcterms:W3CDTF">2015-06-05T18:17:20Z</dcterms:created>
  <dcterms:modified xsi:type="dcterms:W3CDTF">2026-05-08T19:05:37Z</dcterms:modified>
</cp:coreProperties>
</file>