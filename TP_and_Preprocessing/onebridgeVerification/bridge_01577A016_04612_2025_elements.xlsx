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y Drive\PSU\Projects\PhD\WeeklyMeetings_Tasks\24_04062026_BHI_RL\risk-based-bhi-softtree-ppo\TP_and_Preprocessing\onebridgeVerification\"/>
    </mc:Choice>
  </mc:AlternateContent>
  <xr:revisionPtr revIDLastSave="0" documentId="13_ncr:1_{61DFC034-966C-4D8C-8103-59D40FB4141E}" xr6:coauthVersionLast="47" xr6:coauthVersionMax="47" xr10:uidLastSave="{00000000-0000-0000-0000-000000000000}"/>
  <bookViews>
    <workbookView xWindow="17172" yWindow="7692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2" i="1"/>
  <c r="Q3" i="1"/>
  <c r="Q4" i="1"/>
  <c r="Q5" i="1"/>
  <c r="Q6" i="1"/>
  <c r="Q7" i="1"/>
  <c r="Q8" i="1"/>
  <c r="Q9" i="1"/>
  <c r="Q10" i="1"/>
  <c r="Q2" i="1"/>
  <c r="R2" i="1" l="1"/>
</calcChain>
</file>

<file path=xl/sharedStrings.xml><?xml version="1.0" encoding="utf-8"?>
<sst xmlns="http://schemas.openxmlformats.org/spreadsheetml/2006/main" count="36" uniqueCount="28">
  <si>
    <t>year</t>
  </si>
  <si>
    <t>STRUCNUM</t>
  </si>
  <si>
    <t>EN</t>
  </si>
  <si>
    <t>TOTALQTY</t>
  </si>
  <si>
    <t>CS1</t>
  </si>
  <si>
    <t>CS2</t>
  </si>
  <si>
    <t>CS3</t>
  </si>
  <si>
    <t>CS4</t>
  </si>
  <si>
    <t>01577A016 04612</t>
  </si>
  <si>
    <t>EN name</t>
  </si>
  <si>
    <t>VF(Table 10)</t>
  </si>
  <si>
    <t>SSF(Table 3)</t>
  </si>
  <si>
    <t>element weight</t>
  </si>
  <si>
    <t>K1</t>
  </si>
  <si>
    <t>K2</t>
  </si>
  <si>
    <t>k3</t>
  </si>
  <si>
    <t>k4</t>
  </si>
  <si>
    <t>He</t>
  </si>
  <si>
    <t>BHI</t>
  </si>
  <si>
    <t>Abutment (RC)</t>
  </si>
  <si>
    <t>Other Joint</t>
  </si>
  <si>
    <t>Elastomeric Bearings</t>
  </si>
  <si>
    <t>Wearing Surface</t>
  </si>
  <si>
    <t>RC Deck</t>
  </si>
  <si>
    <t>Girder Beam (PSC)</t>
  </si>
  <si>
    <t>Column (RC)</t>
  </si>
  <si>
    <t>Pier Cap (RC)</t>
  </si>
  <si>
    <t>RC Bridge Railing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</si>
</sst>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topLeftCell="C1" workbookViewId="0">
      <selection activeCell="C2" sqref="A2:XFD2"/>
    </sheetView>
  </sheetViews>
  <sheetFormatPr defaultRowHeight="15" x14ac:dyDescent="0.25"/>
  <cols>
    <col min="1" max="1" width="5" bestFit="1" customWidth="1"/>
    <col min="2" max="2" width="15.85546875" bestFit="1" customWidth="1"/>
    <col min="4" max="4" width="19.5703125" bestFit="1" customWidth="1"/>
    <col min="5" max="5" width="12" bestFit="1" customWidth="1"/>
    <col min="6" max="6" width="11.7109375" bestFit="1" customWidth="1"/>
    <col min="7" max="7" width="15.28515625" bestFit="1" customWidth="1"/>
    <col min="8" max="8" width="19.5703125" bestFit="1" customWidth="1"/>
    <col min="9" max="9" width="12" bestFit="1" customWidth="1"/>
    <col min="10" max="10" width="11.7109375" bestFit="1" customWidth="1"/>
    <col min="11" max="11" width="15.28515625" bestFit="1" customWidth="1"/>
    <col min="12" max="12" width="10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t="s">
        <v>9</v>
      </c>
      <c r="E1" t="s">
        <v>10</v>
      </c>
      <c r="F1" t="s">
        <v>11</v>
      </c>
      <c r="G1" t="s">
        <v>12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>
        <v>2025</v>
      </c>
      <c r="B2" t="s">
        <v>8</v>
      </c>
      <c r="C2">
        <v>12</v>
      </c>
      <c r="D2" t="s">
        <v>23</v>
      </c>
      <c r="E2">
        <v>2</v>
      </c>
      <c r="F2">
        <v>3</v>
      </c>
      <c r="G2">
        <f>E2*F2</f>
        <v>6</v>
      </c>
      <c r="H2">
        <v>8462</v>
      </c>
      <c r="I2">
        <v>6979</v>
      </c>
      <c r="J2">
        <v>1483</v>
      </c>
      <c r="K2">
        <v>0</v>
      </c>
      <c r="L2">
        <v>0</v>
      </c>
      <c r="M2">
        <v>1</v>
      </c>
      <c r="N2">
        <v>0.67</v>
      </c>
      <c r="O2">
        <v>0.33</v>
      </c>
      <c r="P2">
        <v>0</v>
      </c>
      <c r="Q2">
        <f>(M2*I2+N2*J2+O2*K2+P2*L2)/H2</f>
        <v>0.94216615457338682</v>
      </c>
      <c r="R2" s="2">
        <f>(Q2*G2+Q3*G3+Q4*G4+Q5*G5+Q6*G6+Q7*G7+Q8*G8+Q9*G9+Q10*G10)/SUM(G2:G10)</f>
        <v>0.93653051820878574</v>
      </c>
    </row>
    <row r="3" spans="1:18" x14ac:dyDescent="0.25">
      <c r="A3">
        <v>2025</v>
      </c>
      <c r="B3" t="s">
        <v>8</v>
      </c>
      <c r="C3">
        <v>109</v>
      </c>
      <c r="D3" t="s">
        <v>24</v>
      </c>
      <c r="E3">
        <v>1</v>
      </c>
      <c r="F3">
        <v>4</v>
      </c>
      <c r="G3">
        <f t="shared" ref="G3:G10" si="0">E3*F3</f>
        <v>4</v>
      </c>
      <c r="H3">
        <v>1198</v>
      </c>
      <c r="I3">
        <v>1196</v>
      </c>
      <c r="J3">
        <v>2</v>
      </c>
      <c r="K3">
        <v>0</v>
      </c>
      <c r="L3">
        <v>0</v>
      </c>
      <c r="M3">
        <v>1</v>
      </c>
      <c r="N3">
        <v>0.67</v>
      </c>
      <c r="O3">
        <v>0.33</v>
      </c>
      <c r="P3">
        <v>0</v>
      </c>
      <c r="Q3">
        <f t="shared" ref="Q3:Q10" si="1">(M3*I3+N3*J3+O3*K3+P3*L3)/H3</f>
        <v>0.99944908180300496</v>
      </c>
    </row>
    <row r="4" spans="1:18" x14ac:dyDescent="0.25">
      <c r="A4">
        <v>2025</v>
      </c>
      <c r="B4" t="s">
        <v>8</v>
      </c>
      <c r="C4">
        <v>205</v>
      </c>
      <c r="D4" t="s">
        <v>25</v>
      </c>
      <c r="E4">
        <v>2</v>
      </c>
      <c r="F4">
        <v>4</v>
      </c>
      <c r="G4">
        <f t="shared" si="0"/>
        <v>8</v>
      </c>
      <c r="H4">
        <v>2</v>
      </c>
      <c r="I4">
        <v>1</v>
      </c>
      <c r="J4">
        <v>1</v>
      </c>
      <c r="K4">
        <v>0</v>
      </c>
      <c r="L4">
        <v>0</v>
      </c>
      <c r="M4">
        <v>1</v>
      </c>
      <c r="N4">
        <v>0.67</v>
      </c>
      <c r="O4">
        <v>0.33</v>
      </c>
      <c r="P4">
        <v>0</v>
      </c>
      <c r="Q4">
        <f t="shared" si="1"/>
        <v>0.83499999999999996</v>
      </c>
    </row>
    <row r="5" spans="1:18" x14ac:dyDescent="0.25">
      <c r="A5">
        <v>2025</v>
      </c>
      <c r="B5" t="s">
        <v>8</v>
      </c>
      <c r="C5">
        <v>215</v>
      </c>
      <c r="D5" t="s">
        <v>19</v>
      </c>
      <c r="E5">
        <v>2</v>
      </c>
      <c r="F5">
        <v>2</v>
      </c>
      <c r="G5">
        <f t="shared" si="0"/>
        <v>4</v>
      </c>
      <c r="H5">
        <v>78</v>
      </c>
      <c r="I5">
        <v>75</v>
      </c>
      <c r="J5">
        <v>3</v>
      </c>
      <c r="K5">
        <v>0</v>
      </c>
      <c r="L5">
        <v>0</v>
      </c>
      <c r="M5">
        <v>1</v>
      </c>
      <c r="N5">
        <v>0.67</v>
      </c>
      <c r="O5">
        <v>0.33</v>
      </c>
      <c r="P5">
        <v>0</v>
      </c>
      <c r="Q5">
        <f t="shared" si="1"/>
        <v>0.98730769230769233</v>
      </c>
    </row>
    <row r="6" spans="1:18" x14ac:dyDescent="0.25">
      <c r="A6">
        <v>2025</v>
      </c>
      <c r="B6" t="s">
        <v>8</v>
      </c>
      <c r="C6">
        <v>234</v>
      </c>
      <c r="D6" t="s">
        <v>26</v>
      </c>
      <c r="E6">
        <v>2</v>
      </c>
      <c r="F6">
        <v>4</v>
      </c>
      <c r="G6">
        <f t="shared" si="0"/>
        <v>8</v>
      </c>
      <c r="H6">
        <v>78</v>
      </c>
      <c r="I6">
        <v>72</v>
      </c>
      <c r="J6">
        <v>6</v>
      </c>
      <c r="K6">
        <v>0</v>
      </c>
      <c r="L6">
        <v>0</v>
      </c>
      <c r="M6">
        <v>1</v>
      </c>
      <c r="N6">
        <v>0.67</v>
      </c>
      <c r="O6">
        <v>0.33</v>
      </c>
      <c r="P6">
        <v>0</v>
      </c>
      <c r="Q6">
        <f t="shared" si="1"/>
        <v>0.97461538461538455</v>
      </c>
    </row>
    <row r="7" spans="1:18" x14ac:dyDescent="0.25">
      <c r="A7">
        <v>2025</v>
      </c>
      <c r="B7" t="s">
        <v>8</v>
      </c>
      <c r="C7">
        <v>306</v>
      </c>
      <c r="D7" t="s">
        <v>20</v>
      </c>
      <c r="E7">
        <v>1.5</v>
      </c>
      <c r="F7">
        <v>1</v>
      </c>
      <c r="G7">
        <f t="shared" si="0"/>
        <v>1.5</v>
      </c>
      <c r="H7">
        <v>76</v>
      </c>
      <c r="I7">
        <v>41</v>
      </c>
      <c r="J7">
        <v>35</v>
      </c>
      <c r="K7">
        <v>0</v>
      </c>
      <c r="L7">
        <v>0</v>
      </c>
      <c r="M7">
        <v>1</v>
      </c>
      <c r="N7">
        <v>0.67</v>
      </c>
      <c r="O7">
        <v>0.33</v>
      </c>
      <c r="P7">
        <v>0</v>
      </c>
      <c r="Q7">
        <f t="shared" si="1"/>
        <v>0.84802631578947374</v>
      </c>
    </row>
    <row r="8" spans="1:18" x14ac:dyDescent="0.25">
      <c r="A8">
        <v>2025</v>
      </c>
      <c r="B8" t="s">
        <v>8</v>
      </c>
      <c r="C8">
        <v>310</v>
      </c>
      <c r="D8" t="s">
        <v>21</v>
      </c>
      <c r="E8">
        <v>1.5</v>
      </c>
      <c r="F8">
        <v>3</v>
      </c>
      <c r="G8">
        <f t="shared" si="0"/>
        <v>4.5</v>
      </c>
      <c r="H8">
        <v>30</v>
      </c>
      <c r="I8">
        <v>30</v>
      </c>
      <c r="J8">
        <v>0</v>
      </c>
      <c r="K8">
        <v>0</v>
      </c>
      <c r="L8">
        <v>0</v>
      </c>
      <c r="M8">
        <v>1</v>
      </c>
      <c r="N8">
        <v>0.67</v>
      </c>
      <c r="O8">
        <v>0.33</v>
      </c>
      <c r="P8">
        <v>0</v>
      </c>
      <c r="Q8">
        <f t="shared" si="1"/>
        <v>1</v>
      </c>
    </row>
    <row r="9" spans="1:18" x14ac:dyDescent="0.25">
      <c r="A9">
        <v>2025</v>
      </c>
      <c r="B9" t="s">
        <v>8</v>
      </c>
      <c r="C9">
        <v>331</v>
      </c>
      <c r="D9" t="s">
        <v>27</v>
      </c>
      <c r="E9">
        <v>2</v>
      </c>
      <c r="F9">
        <v>1</v>
      </c>
      <c r="G9">
        <f t="shared" si="0"/>
        <v>2</v>
      </c>
      <c r="H9">
        <v>541</v>
      </c>
      <c r="I9">
        <v>388</v>
      </c>
      <c r="J9">
        <v>152</v>
      </c>
      <c r="K9">
        <v>1</v>
      </c>
      <c r="L9">
        <v>0</v>
      </c>
      <c r="M9">
        <v>1</v>
      </c>
      <c r="N9">
        <v>0.67</v>
      </c>
      <c r="O9">
        <v>0.33</v>
      </c>
      <c r="P9">
        <v>0</v>
      </c>
      <c r="Q9">
        <f t="shared" si="1"/>
        <v>0.90604436229205176</v>
      </c>
    </row>
    <row r="10" spans="1:18" x14ac:dyDescent="0.25">
      <c r="A10">
        <v>2025</v>
      </c>
      <c r="B10" t="s">
        <v>8</v>
      </c>
      <c r="C10">
        <v>510</v>
      </c>
      <c r="D10" t="s">
        <v>22</v>
      </c>
      <c r="E10">
        <v>1.5</v>
      </c>
      <c r="F10">
        <v>1</v>
      </c>
      <c r="G10">
        <f t="shared" si="0"/>
        <v>1.5</v>
      </c>
      <c r="H10">
        <v>8462</v>
      </c>
      <c r="I10">
        <v>5588</v>
      </c>
      <c r="J10">
        <v>2874</v>
      </c>
      <c r="K10">
        <v>0</v>
      </c>
      <c r="L10">
        <v>0</v>
      </c>
      <c r="M10">
        <v>1</v>
      </c>
      <c r="N10">
        <v>0.67</v>
      </c>
      <c r="O10">
        <v>0.33</v>
      </c>
      <c r="P10">
        <v>0</v>
      </c>
      <c r="Q10">
        <f t="shared" si="1"/>
        <v>0.88792011344835731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Moayyedi</cp:lastModifiedBy>
  <dcterms:created xsi:type="dcterms:W3CDTF">2026-05-13T18:36:41Z</dcterms:created>
  <dcterms:modified xsi:type="dcterms:W3CDTF">2026-05-27T00:47:45Z</dcterms:modified>
</cp:coreProperties>
</file>